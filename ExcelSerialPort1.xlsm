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Chast_2\PROEKTI\Lucid\PIC16F1933\Lucid1933.X\"/>
    </mc:Choice>
  </mc:AlternateContent>
  <bookViews>
    <workbookView xWindow="0" yWindow="0" windowWidth="20670" windowHeight="9495" activeTab="2"/>
  </bookViews>
  <sheets>
    <sheet name="Sheet1" sheetId="1" r:id="rId1"/>
    <sheet name="Sheet2" sheetId="2" r:id="rId2"/>
    <sheet name="Sheet3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3" l="1"/>
  <c r="J13" i="3"/>
  <c r="H13" i="3"/>
  <c r="F13" i="3"/>
  <c r="G13" i="3" s="1"/>
  <c r="D13" i="3"/>
  <c r="B13" i="3" s="1"/>
  <c r="D12" i="3"/>
  <c r="B12" i="3"/>
  <c r="H11" i="3"/>
  <c r="D11" i="3"/>
  <c r="B11" i="3"/>
  <c r="D10" i="3"/>
  <c r="B10" i="3"/>
  <c r="D9" i="3"/>
  <c r="B9" i="3"/>
  <c r="K8" i="3"/>
  <c r="J8" i="3"/>
  <c r="D8" i="3"/>
  <c r="B8" i="3"/>
  <c r="D7" i="3"/>
  <c r="B7" i="3"/>
  <c r="D6" i="3"/>
  <c r="B6" i="3"/>
  <c r="D5" i="3"/>
  <c r="B5" i="3"/>
  <c r="D4" i="3"/>
  <c r="B4" i="3"/>
  <c r="D3" i="3"/>
  <c r="B3" i="3"/>
  <c r="B2" i="2" l="1"/>
  <c r="C2" i="2" s="1"/>
  <c r="D2" i="2" s="1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</calcChain>
</file>

<file path=xl/sharedStrings.xml><?xml version="1.0" encoding="utf-8"?>
<sst xmlns="http://schemas.openxmlformats.org/spreadsheetml/2006/main" count="10" uniqueCount="7">
  <si>
    <t>[aaaa</t>
  </si>
  <si>
    <t>Com Port Number</t>
  </si>
  <si>
    <t>MaxPWM</t>
  </si>
  <si>
    <t>u16EffectCounterL</t>
  </si>
  <si>
    <t>Time(ms)</t>
  </si>
  <si>
    <t>Rounded</t>
  </si>
  <si>
    <t>Myne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</si>
</sst>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47625</xdr:colOff>
          <xdr:row>2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3</xdr:col>
          <xdr:colOff>38100</xdr:colOff>
          <xdr:row>4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3</xdr:col>
          <xdr:colOff>47625</xdr:colOff>
          <xdr:row>6</xdr:row>
          <xdr:rowOff>123825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</xdr:rowOff>
        </xdr:from>
        <xdr:to>
          <xdr:col>3</xdr:col>
          <xdr:colOff>66675</xdr:colOff>
          <xdr:row>8</xdr:row>
          <xdr:rowOff>123825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1</xdr:row>
          <xdr:rowOff>19050</xdr:rowOff>
        </xdr:from>
        <xdr:to>
          <xdr:col>5</xdr:col>
          <xdr:colOff>590550</xdr:colOff>
          <xdr:row>2</xdr:row>
          <xdr:rowOff>133350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3</xdr:row>
          <xdr:rowOff>9525</xdr:rowOff>
        </xdr:from>
        <xdr:to>
          <xdr:col>5</xdr:col>
          <xdr:colOff>571500</xdr:colOff>
          <xdr:row>4</xdr:row>
          <xdr:rowOff>171450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32" name="CommandButton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9</xdr:row>
          <xdr:rowOff>0</xdr:rowOff>
        </xdr:from>
        <xdr:to>
          <xdr:col>5</xdr:col>
          <xdr:colOff>600075</xdr:colOff>
          <xdr:row>10</xdr:row>
          <xdr:rowOff>190499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190499</xdr:rowOff>
        </xdr:from>
        <xdr:to>
          <xdr:col>6</xdr:col>
          <xdr:colOff>0</xdr:colOff>
          <xdr:row>14</xdr:row>
          <xdr:rowOff>47624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3"/>
  <sheetViews>
    <sheetView workbookViewId="0">
      <selection activeCell="G11" sqref="G11"/>
    </sheetView>
  </sheetViews>
  <sheetFormatPr defaultRowHeight="15" x14ac:dyDescent="0.25"/>
  <cols>
    <col min="1" max="1" width="21.42578125" customWidth="1"/>
  </cols>
  <sheetData>
    <row r="1" spans="1:9" x14ac:dyDescent="0.25">
      <c r="A1" s="1" t="s">
        <v>0</v>
      </c>
      <c r="G1" s="2"/>
      <c r="H1" s="2"/>
      <c r="I1" s="2"/>
    </row>
    <row r="2" spans="1:9" x14ac:dyDescent="0.25">
      <c r="A2" s="3" t="s">
        <v>1</v>
      </c>
      <c r="G2" s="2"/>
      <c r="H2" s="2"/>
      <c r="I2" s="2"/>
    </row>
    <row r="3" spans="1:9" x14ac:dyDescent="0.25">
      <c r="A3" s="3">
        <v>3</v>
      </c>
    </row>
    <row r="5" spans="1:9" x14ac:dyDescent="0.25">
      <c r="H5" s="2"/>
    </row>
    <row r="7" spans="1:9" x14ac:dyDescent="0.25">
      <c r="G7">
        <v>2</v>
      </c>
    </row>
    <row r="10" spans="1:9" x14ac:dyDescent="0.25">
      <c r="G10">
        <v>216</v>
      </c>
    </row>
    <row r="13" spans="1:9" x14ac:dyDescent="0.25">
      <c r="D13" s="1"/>
      <c r="G13">
        <v>25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9">
          <controlPr autoLine="0" autoPict="0" r:id="rId5">
            <anchor moveWithCells="1">
              <from>
                <xdr:col>4</xdr:col>
                <xdr:colOff>0</xdr:colOff>
                <xdr:row>11</xdr:row>
                <xdr:rowOff>190500</xdr:rowOff>
              </from>
              <to>
                <xdr:col>6</xdr:col>
                <xdr:colOff>0</xdr:colOff>
                <xdr:row>14</xdr:row>
                <xdr:rowOff>47625</xdr:rowOff>
              </to>
            </anchor>
          </controlPr>
        </control>
      </mc:Choice>
      <mc:Fallback>
        <control shapeId="1034" r:id="rId4" name="CommandButton9"/>
      </mc:Fallback>
    </mc:AlternateContent>
    <mc:AlternateContent xmlns:mc="http://schemas.openxmlformats.org/markup-compatibility/2006">
      <mc:Choice Requires="x14">
        <control shapeId="1033" r:id="rId6" name="CommandButton8">
          <controlPr autoLine="0" r:id="rId7">
            <anchor moveWithCells="1">
              <from>
                <xdr:col>3</xdr:col>
                <xdr:colOff>600075</xdr:colOff>
                <xdr:row>9</xdr:row>
                <xdr:rowOff>0</xdr:rowOff>
              </from>
              <to>
                <xdr:col>5</xdr:col>
                <xdr:colOff>600075</xdr:colOff>
                <xdr:row>11</xdr:row>
                <xdr:rowOff>0</xdr:rowOff>
              </to>
            </anchor>
          </controlPr>
        </control>
      </mc:Choice>
      <mc:Fallback>
        <control shapeId="1033" r:id="rId6" name="CommandButton8"/>
      </mc:Fallback>
    </mc:AlternateContent>
    <mc:AlternateContent xmlns:mc="http://schemas.openxmlformats.org/markup-compatibility/2006">
      <mc:Choice Requires="x14">
        <control shapeId="1032" r:id="rId8" name="CommandButton7">
          <controlPr autoLine="0" autoPict="0" r:id="rId9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2" r:id="rId8" name="CommandButton7"/>
      </mc:Fallback>
    </mc:AlternateContent>
    <mc:AlternateContent xmlns:mc="http://schemas.openxmlformats.org/markup-compatibility/2006">
      <mc:Choice Requires="x14">
        <control shapeId="1029" r:id="rId10" name="CommandButton5">
          <controlPr autoLine="0" r:id="rId11">
            <anchor moveWithCells="1">
              <from>
                <xdr:col>3</xdr:col>
                <xdr:colOff>400050</xdr:colOff>
                <xdr:row>1</xdr:row>
                <xdr:rowOff>19050</xdr:rowOff>
              </from>
              <to>
                <xdr:col>5</xdr:col>
                <xdr:colOff>590550</xdr:colOff>
                <xdr:row>2</xdr:row>
                <xdr:rowOff>133350</xdr:rowOff>
              </to>
            </anchor>
          </controlPr>
        </control>
      </mc:Choice>
      <mc:Fallback>
        <control shapeId="1029" r:id="rId10" name="CommandButton5"/>
      </mc:Fallback>
    </mc:AlternateContent>
    <mc:AlternateContent xmlns:mc="http://schemas.openxmlformats.org/markup-compatibility/2006">
      <mc:Choice Requires="x14">
        <control shapeId="1025" r:id="rId12" name="CommandButton1">
          <controlPr autoLine="0" r:id="rId13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47625</xdr:colOff>
                <xdr:row>2</xdr:row>
                <xdr:rowOff>123825</xdr:rowOff>
              </to>
            </anchor>
          </controlPr>
        </control>
      </mc:Choice>
      <mc:Fallback>
        <control shapeId="1025" r:id="rId12" name="CommandButton1"/>
      </mc:Fallback>
    </mc:AlternateContent>
    <mc:AlternateContent xmlns:mc="http://schemas.openxmlformats.org/markup-compatibility/2006">
      <mc:Choice Requires="x14">
        <control shapeId="1026" r:id="rId14" name="CommandButton2">
          <controlPr autoLine="0" r:id="rId1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3</xdr:col>
                <xdr:colOff>38100</xdr:colOff>
                <xdr:row>4</xdr:row>
                <xdr:rowOff>123825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7" r:id="rId16" name="CommandButton3">
          <controlPr autoLine="0" r:id="rId17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3</xdr:col>
                <xdr:colOff>47625</xdr:colOff>
                <xdr:row>6</xdr:row>
                <xdr:rowOff>123825</xdr:rowOff>
              </to>
            </anchor>
          </controlPr>
        </control>
      </mc:Choice>
      <mc:Fallback>
        <control shapeId="1027" r:id="rId16" name="CommandButton3"/>
      </mc:Fallback>
    </mc:AlternateContent>
    <mc:AlternateContent xmlns:mc="http://schemas.openxmlformats.org/markup-compatibility/2006">
      <mc:Choice Requires="x14">
        <control shapeId="1028" r:id="rId18" name="CommandButton4">
          <controlPr autoLine="0" r:id="rId19">
            <anchor moveWithCells="1">
              <from>
                <xdr:col>1</xdr:col>
                <xdr:colOff>9525</xdr:colOff>
                <xdr:row>7</xdr:row>
                <xdr:rowOff>9525</xdr:rowOff>
              </from>
              <to>
                <xdr:col>3</xdr:col>
                <xdr:colOff>66675</xdr:colOff>
                <xdr:row>8</xdr:row>
                <xdr:rowOff>123825</xdr:rowOff>
              </to>
            </anchor>
          </controlPr>
        </control>
      </mc:Choice>
      <mc:Fallback>
        <control shapeId="1028" r:id="rId18" name="CommandButton4"/>
      </mc:Fallback>
    </mc:AlternateContent>
    <mc:AlternateContent xmlns:mc="http://schemas.openxmlformats.org/markup-compatibility/2006">
      <mc:Choice Requires="x14">
        <control shapeId="1030" r:id="rId20" name="CommandButton6">
          <controlPr autoLine="0" autoPict="0" r:id="rId21">
            <anchor moveWithCells="1">
              <from>
                <xdr:col>3</xdr:col>
                <xdr:colOff>390525</xdr:colOff>
                <xdr:row>3</xdr:row>
                <xdr:rowOff>9525</xdr:rowOff>
              </from>
              <to>
                <xdr:col>5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30" r:id="rId20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"/>
  <sheetViews>
    <sheetView workbookViewId="0">
      <selection activeCell="C11" sqref="C11"/>
    </sheetView>
  </sheetViews>
  <sheetFormatPr defaultRowHeight="15" x14ac:dyDescent="0.25"/>
  <sheetData>
    <row r="1" spans="1:32" x14ac:dyDescent="0.25">
      <c r="A1" s="2">
        <v>3.472222222222222E-3</v>
      </c>
      <c r="B1" s="2">
        <v>3.472222222222222E-3</v>
      </c>
      <c r="C1" s="2">
        <v>3.4722222222222199E-3</v>
      </c>
      <c r="D1" s="2">
        <v>3.4722222222222199E-3</v>
      </c>
      <c r="E1" s="2">
        <v>3.4722222222222199E-3</v>
      </c>
      <c r="F1" s="2">
        <v>3.4722222222222199E-3</v>
      </c>
      <c r="G1" s="2">
        <v>3.4722222222222199E-3</v>
      </c>
      <c r="H1" s="2">
        <v>3.4722222222222199E-3</v>
      </c>
      <c r="I1" s="2">
        <v>3.4722222222222199E-3</v>
      </c>
      <c r="J1" s="2">
        <v>3.4722222222222199E-3</v>
      </c>
      <c r="K1" s="2">
        <v>3.4722222222222199E-3</v>
      </c>
      <c r="L1" s="2">
        <v>3.4722222222222199E-3</v>
      </c>
      <c r="M1" s="2">
        <v>3.4722222222222199E-3</v>
      </c>
      <c r="N1" s="2">
        <v>3.4722222222222199E-3</v>
      </c>
      <c r="O1" s="2">
        <v>3.4722222222222199E-3</v>
      </c>
      <c r="P1" s="2">
        <v>3.4722222222222199E-3</v>
      </c>
      <c r="Q1" s="2">
        <v>3.4722222222222199E-3</v>
      </c>
      <c r="R1" s="2">
        <v>3.4722222222222199E-3</v>
      </c>
      <c r="S1" s="2">
        <v>3.4722222222222199E-3</v>
      </c>
      <c r="T1" s="2">
        <v>3.4722222222222199E-3</v>
      </c>
      <c r="U1" s="2">
        <v>3.4722222222222199E-3</v>
      </c>
      <c r="V1" s="2">
        <v>3.4722222222222199E-3</v>
      </c>
      <c r="W1" s="2">
        <v>3.4722222222222199E-3</v>
      </c>
      <c r="X1" s="2">
        <v>3.4722222222222199E-3</v>
      </c>
      <c r="Y1" s="2">
        <v>3.4722222222222199E-3</v>
      </c>
      <c r="Z1" s="2">
        <v>3.4722222222222199E-3</v>
      </c>
      <c r="AA1" s="2">
        <v>3.4722222222222199E-3</v>
      </c>
      <c r="AB1" s="2">
        <v>3.4722222222222199E-3</v>
      </c>
      <c r="AC1" s="2">
        <v>3.4722222222222199E-3</v>
      </c>
      <c r="AD1" s="2">
        <v>3.4722222222222199E-3</v>
      </c>
      <c r="AE1" s="2">
        <v>3.4722222222222199E-3</v>
      </c>
      <c r="AF1" s="2">
        <v>3.4722222222222199E-3</v>
      </c>
    </row>
    <row r="2" spans="1:32" x14ac:dyDescent="0.25">
      <c r="A2" s="2">
        <v>0.5154050925925926</v>
      </c>
      <c r="B2" s="2">
        <f>A2+A1</f>
        <v>0.51887731481481481</v>
      </c>
      <c r="C2" s="2">
        <f>B2+B1</f>
        <v>0.52234953703703701</v>
      </c>
      <c r="D2" s="2">
        <f t="shared" ref="D2:R2" si="0">C2+C1</f>
        <v>0.52582175925925922</v>
      </c>
      <c r="E2" s="2">
        <f t="shared" si="0"/>
        <v>0.52929398148148143</v>
      </c>
      <c r="F2" s="2">
        <f t="shared" si="0"/>
        <v>0.53276620370370364</v>
      </c>
      <c r="G2" s="2">
        <f t="shared" si="0"/>
        <v>0.53623842592592585</v>
      </c>
      <c r="H2" s="2">
        <f t="shared" si="0"/>
        <v>0.53971064814814806</v>
      </c>
      <c r="I2" s="2">
        <f t="shared" si="0"/>
        <v>0.54318287037037027</v>
      </c>
      <c r="J2" s="2">
        <f t="shared" si="0"/>
        <v>0.54665509259259248</v>
      </c>
      <c r="K2" s="2">
        <f t="shared" si="0"/>
        <v>0.55012731481481469</v>
      </c>
      <c r="L2" s="2">
        <f t="shared" si="0"/>
        <v>0.5535995370370369</v>
      </c>
      <c r="M2" s="2">
        <f t="shared" si="0"/>
        <v>0.55707175925925911</v>
      </c>
      <c r="N2" s="2">
        <f t="shared" si="0"/>
        <v>0.56054398148148132</v>
      </c>
      <c r="O2" s="2">
        <f t="shared" si="0"/>
        <v>0.56401620370370353</v>
      </c>
      <c r="P2" s="2">
        <f t="shared" si="0"/>
        <v>0.56748842592592574</v>
      </c>
      <c r="Q2" s="2">
        <f t="shared" si="0"/>
        <v>0.57096064814814795</v>
      </c>
      <c r="R2" s="2">
        <f t="shared" si="0"/>
        <v>0.57443287037037016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3"/>
  <sheetViews>
    <sheetView tabSelected="1" workbookViewId="0">
      <selection activeCell="L5" sqref="L5"/>
    </sheetView>
  </sheetViews>
  <sheetFormatPr defaultRowHeight="15" x14ac:dyDescent="0.25"/>
  <sheetData>
    <row r="1" spans="1:12" x14ac:dyDescent="0.25">
      <c r="A1">
        <v>2</v>
      </c>
      <c r="B1" s="8" t="s">
        <v>2</v>
      </c>
      <c r="C1" s="8"/>
      <c r="D1" s="8"/>
      <c r="E1">
        <v>255</v>
      </c>
      <c r="F1" s="8" t="s">
        <v>3</v>
      </c>
      <c r="G1" s="8"/>
      <c r="H1" s="8"/>
      <c r="I1" s="8"/>
      <c r="J1" s="8"/>
      <c r="K1" s="3" t="s">
        <v>2</v>
      </c>
      <c r="L1" t="s">
        <v>4</v>
      </c>
    </row>
    <row r="2" spans="1:12" x14ac:dyDescent="0.25">
      <c r="B2" s="3" t="s">
        <v>5</v>
      </c>
      <c r="C2" s="3" t="s">
        <v>6</v>
      </c>
      <c r="D2" s="3"/>
      <c r="F2" s="3"/>
      <c r="G2" s="3" t="s">
        <v>5</v>
      </c>
      <c r="H2" s="3"/>
      <c r="I2" s="3" t="s">
        <v>6</v>
      </c>
      <c r="J2" s="3"/>
      <c r="K2" s="3"/>
    </row>
    <row r="3" spans="1:12" x14ac:dyDescent="0.25">
      <c r="A3">
        <v>0</v>
      </c>
      <c r="B3">
        <f>ROUND(D3,0)</f>
        <v>255</v>
      </c>
      <c r="D3">
        <f>E1*E3</f>
        <v>255</v>
      </c>
      <c r="E3" s="3">
        <v>1</v>
      </c>
      <c r="F3" s="3"/>
      <c r="G3" s="3"/>
      <c r="H3" s="3"/>
      <c r="I3" s="3">
        <v>19</v>
      </c>
      <c r="J3">
        <v>19</v>
      </c>
      <c r="K3">
        <v>255</v>
      </c>
      <c r="L3">
        <v>997</v>
      </c>
    </row>
    <row r="4" spans="1:12" x14ac:dyDescent="0.25">
      <c r="A4">
        <v>1</v>
      </c>
      <c r="B4">
        <f t="shared" ref="B4:B12" si="0">ROUND(D4,0)</f>
        <v>230</v>
      </c>
      <c r="C4">
        <v>231</v>
      </c>
      <c r="D4">
        <f>255*E4</f>
        <v>229.5</v>
      </c>
      <c r="E4" s="3">
        <v>0.9</v>
      </c>
      <c r="F4" s="3"/>
      <c r="G4" s="3"/>
      <c r="H4" s="3"/>
      <c r="I4" s="3">
        <v>21</v>
      </c>
      <c r="L4">
        <v>991</v>
      </c>
    </row>
    <row r="5" spans="1:12" x14ac:dyDescent="0.25">
      <c r="A5">
        <v>2</v>
      </c>
      <c r="B5">
        <f t="shared" si="0"/>
        <v>204</v>
      </c>
      <c r="C5">
        <v>205</v>
      </c>
      <c r="D5">
        <f>255*E5</f>
        <v>204</v>
      </c>
      <c r="E5" s="3">
        <v>0.8</v>
      </c>
      <c r="F5" s="3"/>
      <c r="G5" s="3"/>
      <c r="H5" s="3"/>
      <c r="I5" s="3">
        <v>25</v>
      </c>
      <c r="L5">
        <v>1037</v>
      </c>
    </row>
    <row r="6" spans="1:12" x14ac:dyDescent="0.25">
      <c r="A6" s="4">
        <v>3</v>
      </c>
      <c r="B6" s="4">
        <f t="shared" si="0"/>
        <v>179</v>
      </c>
      <c r="C6" s="4">
        <v>180</v>
      </c>
      <c r="D6" s="4">
        <f t="shared" ref="D6:D12" si="1">255*E6</f>
        <v>178.5</v>
      </c>
      <c r="E6" s="5">
        <v>0.7</v>
      </c>
      <c r="F6" s="5"/>
      <c r="G6" s="5"/>
      <c r="H6" s="5"/>
      <c r="I6" s="5">
        <v>28</v>
      </c>
      <c r="J6" s="4"/>
      <c r="K6" s="4"/>
      <c r="L6" s="4">
        <v>1032</v>
      </c>
    </row>
    <row r="7" spans="1:12" x14ac:dyDescent="0.25">
      <c r="A7" s="4">
        <v>4</v>
      </c>
      <c r="B7" s="4">
        <f t="shared" si="0"/>
        <v>153</v>
      </c>
      <c r="C7" s="4">
        <v>154</v>
      </c>
      <c r="D7" s="4">
        <f t="shared" si="1"/>
        <v>153</v>
      </c>
      <c r="E7" s="5">
        <v>0.6</v>
      </c>
      <c r="F7" s="5">
        <v>32</v>
      </c>
      <c r="G7" s="5"/>
      <c r="H7" s="5"/>
      <c r="I7" s="5">
        <v>32</v>
      </c>
      <c r="J7" s="4"/>
      <c r="K7" s="4"/>
      <c r="L7" s="4">
        <v>1001</v>
      </c>
    </row>
    <row r="8" spans="1:12" x14ac:dyDescent="0.25">
      <c r="A8">
        <v>5</v>
      </c>
      <c r="B8" s="4">
        <f t="shared" si="0"/>
        <v>128</v>
      </c>
      <c r="C8" s="4">
        <v>129</v>
      </c>
      <c r="D8" s="4">
        <f t="shared" si="1"/>
        <v>127.5</v>
      </c>
      <c r="E8" s="5">
        <v>0.5</v>
      </c>
      <c r="F8" s="5"/>
      <c r="G8" s="5"/>
      <c r="H8" s="5">
        <v>39</v>
      </c>
      <c r="I8" s="5">
        <v>39</v>
      </c>
      <c r="J8" s="4">
        <f>J3*2</f>
        <v>38</v>
      </c>
      <c r="K8" s="4">
        <f>K3/2</f>
        <v>127.5</v>
      </c>
      <c r="L8" s="4">
        <v>997.1</v>
      </c>
    </row>
    <row r="9" spans="1:12" x14ac:dyDescent="0.25">
      <c r="A9">
        <v>6</v>
      </c>
      <c r="B9" s="4">
        <f t="shared" si="0"/>
        <v>102</v>
      </c>
      <c r="C9" s="4">
        <v>102</v>
      </c>
      <c r="D9" s="4">
        <f t="shared" si="1"/>
        <v>102</v>
      </c>
      <c r="E9" s="5">
        <v>0.4</v>
      </c>
      <c r="F9" s="5"/>
      <c r="G9" s="5"/>
      <c r="H9" s="5"/>
      <c r="I9" s="5">
        <v>50</v>
      </c>
      <c r="J9" s="4"/>
      <c r="K9" s="4"/>
      <c r="L9" s="4">
        <v>1016</v>
      </c>
    </row>
    <row r="10" spans="1:12" x14ac:dyDescent="0.25">
      <c r="A10">
        <v>7</v>
      </c>
      <c r="B10" s="4">
        <f t="shared" si="0"/>
        <v>77</v>
      </c>
      <c r="C10" s="4">
        <v>77</v>
      </c>
      <c r="D10" s="4">
        <f t="shared" si="1"/>
        <v>76.5</v>
      </c>
      <c r="E10" s="5">
        <v>0.3</v>
      </c>
      <c r="F10" s="5"/>
      <c r="G10" s="5"/>
      <c r="H10" s="5"/>
      <c r="I10" s="5">
        <v>66</v>
      </c>
      <c r="J10" s="4"/>
      <c r="K10" s="4"/>
      <c r="L10" s="4">
        <v>1011</v>
      </c>
    </row>
    <row r="11" spans="1:12" x14ac:dyDescent="0.25">
      <c r="A11">
        <v>8</v>
      </c>
      <c r="B11" s="4">
        <f t="shared" si="0"/>
        <v>51</v>
      </c>
      <c r="C11" s="4"/>
      <c r="D11" s="4">
        <f t="shared" si="1"/>
        <v>51</v>
      </c>
      <c r="E11" s="5">
        <v>0.2</v>
      </c>
      <c r="F11" s="5"/>
      <c r="G11" s="5"/>
      <c r="H11" s="5">
        <f>19*5</f>
        <v>95</v>
      </c>
      <c r="I11" s="5">
        <v>99</v>
      </c>
      <c r="J11" s="4"/>
      <c r="K11" s="4"/>
      <c r="L11" s="4">
        <v>1.006</v>
      </c>
    </row>
    <row r="12" spans="1:12" x14ac:dyDescent="0.25">
      <c r="A12">
        <v>9</v>
      </c>
      <c r="B12" s="4">
        <f t="shared" si="0"/>
        <v>26</v>
      </c>
      <c r="C12" s="4"/>
      <c r="D12" s="4">
        <f t="shared" si="1"/>
        <v>25.5</v>
      </c>
      <c r="E12" s="5">
        <v>0.1</v>
      </c>
      <c r="F12" s="5"/>
      <c r="G12" s="5"/>
      <c r="H12" s="5">
        <v>195</v>
      </c>
      <c r="I12" s="5">
        <v>195</v>
      </c>
      <c r="J12" s="4"/>
      <c r="K12" s="4"/>
      <c r="L12" s="4">
        <v>1.002</v>
      </c>
    </row>
    <row r="13" spans="1:12" x14ac:dyDescent="0.25">
      <c r="B13" s="6">
        <f>ROUND(D13,0)</f>
        <v>64</v>
      </c>
      <c r="C13" s="6"/>
      <c r="D13" s="6">
        <f>255*E13</f>
        <v>63.75</v>
      </c>
      <c r="E13" s="7">
        <v>0.25</v>
      </c>
      <c r="F13" s="7">
        <f>19+(19*(1-E13))</f>
        <v>33.25</v>
      </c>
      <c r="G13" s="7">
        <f>ROUND(F13,0)</f>
        <v>33</v>
      </c>
      <c r="H13" s="7">
        <f>19*4</f>
        <v>76</v>
      </c>
      <c r="I13" s="7"/>
      <c r="J13" s="6">
        <f>19*4</f>
        <v>76</v>
      </c>
      <c r="K13" s="6">
        <f>255/6</f>
        <v>42.5</v>
      </c>
      <c r="L13" s="6">
        <v>933</v>
      </c>
    </row>
  </sheetData>
  <mergeCells count="2">
    <mergeCell ref="B1:D1"/>
    <mergeCell ref="F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ferdok9</dc:creator>
  <cp:lastModifiedBy>ferdok9</cp:lastModifiedBy>
  <dcterms:created xsi:type="dcterms:W3CDTF">2016-03-03T16:30:01Z</dcterms:created>
  <dcterms:modified xsi:type="dcterms:W3CDTF">2016-05-08T21:45:12Z</dcterms:modified>
</cp:coreProperties>
</file>